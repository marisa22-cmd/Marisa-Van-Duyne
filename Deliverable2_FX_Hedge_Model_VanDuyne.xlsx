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Audit" sheetId="5" state="visible" r:id="rId5"/>
  </sheets>
  <definedNames>
    <definedName name="FC_AMT">'Inputs'!$C$4</definedName>
    <definedName name="S0_in">'Inputs'!$C$5</definedName>
    <definedName name="F0_in">'Inputs'!$C$6</definedName>
    <definedName name="R_USD">'Inputs'!$C$7</definedName>
    <definedName name="R_FC">'Inputs'!$C$8</definedName>
    <definedName name="K_PUT">'Inputs'!$C$9</definedName>
    <definedName name="K_CALL">'Inputs'!$C$10</definedName>
    <definedName name="PREM_PUT">'Inputs'!$C$11</definedName>
    <definedName name="PREM_CALL">'Inputs'!$C$12</definedName>
    <definedName name="T_DAYS">'Inputs'!$C$13</definedName>
    <definedName name="T_YRS">'Inputs'!$C$14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DE9A9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5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165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42" customWidth="1" min="5" max="5"/>
  </cols>
  <sheetData>
    <row r="1">
      <c r="A1" s="1" t="inlineStr">
        <is>
          <t>Stage 4 — FX Hedge Model Inputs (Van Duyne)  |  As-of: 2025-12-11</t>
        </is>
      </c>
    </row>
    <row r="3">
      <c r="A3" s="2" t="inlineStr">
        <is>
          <t>Item</t>
        </is>
      </c>
      <c r="B3" s="3" t="inlineStr">
        <is>
          <t>Named Range</t>
        </is>
      </c>
      <c r="C3" s="3" t="inlineStr">
        <is>
          <t>Value</t>
        </is>
      </c>
      <c r="D3" s="3" t="inlineStr">
        <is>
          <t>Units</t>
        </is>
      </c>
      <c r="E3" s="3" t="inlineStr">
        <is>
          <t>Source / Notes</t>
        </is>
      </c>
    </row>
    <row r="4">
      <c r="A4" s="4" t="inlineStr">
        <is>
          <t>EUR receivable</t>
        </is>
      </c>
      <c r="B4" s="5" t="inlineStr">
        <is>
          <t>FC_AMT</t>
        </is>
      </c>
      <c r="C4" s="5" t="n">
        <v>8000000</v>
      </c>
      <c r="D4" s="5" t="inlineStr">
        <is>
          <t>EUR</t>
        </is>
      </c>
      <c r="E4" s="4" t="inlineStr">
        <is>
          <t>Stage 2 spec</t>
        </is>
      </c>
    </row>
    <row r="5">
      <c r="A5" s="4" t="inlineStr">
        <is>
          <t>Spot rate (EUR/USD)</t>
        </is>
      </c>
      <c r="B5" s="5" t="inlineStr">
        <is>
          <t>S0_in</t>
        </is>
      </c>
      <c r="C5" s="5" t="n">
        <v>1.1714</v>
      </c>
      <c r="D5" s="5" t="inlineStr">
        <is>
          <t>USD per EUR</t>
        </is>
      </c>
      <c r="E5" s="4" t="inlineStr">
        <is>
          <t>ECB reference rate (11 Dec 2025)</t>
        </is>
      </c>
    </row>
    <row r="6">
      <c r="A6" s="4" t="inlineStr">
        <is>
          <t>Forward rate (1Y)</t>
        </is>
      </c>
      <c r="B6" s="5" t="inlineStr">
        <is>
          <t>F0_in</t>
        </is>
      </c>
      <c r="C6" s="5" t="n">
        <v>1.089</v>
      </c>
      <c r="D6" s="5" t="inlineStr">
        <is>
          <t>USD per EUR</t>
        </is>
      </c>
      <c r="E6" s="4" t="inlineStr">
        <is>
          <t>Provided (Stage 2)</t>
        </is>
      </c>
    </row>
    <row r="7">
      <c r="A7" s="4" t="inlineStr">
        <is>
          <t>USD interest rate</t>
        </is>
      </c>
      <c r="B7" s="5" t="inlineStr">
        <is>
          <t>R_USD</t>
        </is>
      </c>
      <c r="C7" s="5" t="n">
        <v>0.039</v>
      </c>
      <c r="D7" s="5" t="inlineStr">
        <is>
          <t>annual (decimal)</t>
        </is>
      </c>
      <c r="E7" s="4" t="inlineStr">
        <is>
          <t>Update at runtime (proxy value entered)</t>
        </is>
      </c>
    </row>
    <row r="8">
      <c r="A8" s="4" t="inlineStr">
        <is>
          <t>EUR interest rate</t>
        </is>
      </c>
      <c r="B8" s="5" t="inlineStr">
        <is>
          <t>R_FC</t>
        </is>
      </c>
      <c r="C8" s="5" t="n">
        <v>0.0193</v>
      </c>
      <c r="D8" s="5" t="inlineStr">
        <is>
          <t>annual (decimal)</t>
        </is>
      </c>
      <c r="E8" s="4" t="inlineStr">
        <is>
          <t>€STR (proxy value entered)</t>
        </is>
      </c>
    </row>
    <row r="9">
      <c r="A9" s="4" t="inlineStr">
        <is>
          <t>Put strike</t>
        </is>
      </c>
      <c r="B9" s="5" t="inlineStr">
        <is>
          <t>K_PUT</t>
        </is>
      </c>
      <c r="C9" s="5" t="n">
        <v>1.089</v>
      </c>
      <c r="D9" s="5" t="inlineStr">
        <is>
          <t>USD per EUR</t>
        </is>
      </c>
      <c r="E9" s="4" t="inlineStr">
        <is>
          <t>Chosen to match forward (Stage 2)</t>
        </is>
      </c>
    </row>
    <row r="10">
      <c r="A10" s="4" t="inlineStr">
        <is>
          <t>Call strike</t>
        </is>
      </c>
      <c r="B10" s="5" t="inlineStr">
        <is>
          <t>K_CALL</t>
        </is>
      </c>
      <c r="C10" s="5" t="n">
        <v>1.089</v>
      </c>
      <c r="D10" s="5" t="inlineStr">
        <is>
          <t>USD per EUR</t>
        </is>
      </c>
      <c r="E10" s="4" t="inlineStr">
        <is>
          <t>Kept for completeness</t>
        </is>
      </c>
    </row>
    <row r="11">
      <c r="A11" s="4" t="inlineStr">
        <is>
          <t>Put premium</t>
        </is>
      </c>
      <c r="B11" s="5" t="inlineStr">
        <is>
          <t>PREM_PUT</t>
        </is>
      </c>
      <c r="C11" s="5" t="n">
        <v>0.021</v>
      </c>
      <c r="D11" s="5" t="inlineStr">
        <is>
          <t>USD per EUR</t>
        </is>
      </c>
      <c r="E11" s="4" t="inlineStr">
        <is>
          <t>Dealer quote (Stage 2)</t>
        </is>
      </c>
    </row>
    <row r="12">
      <c r="A12" s="4" t="inlineStr">
        <is>
          <t>Call premium</t>
        </is>
      </c>
      <c r="B12" s="5" t="inlineStr">
        <is>
          <t>PREM_CALL</t>
        </is>
      </c>
      <c r="C12" s="5" t="n">
        <v>0.021</v>
      </c>
      <c r="D12" s="5" t="inlineStr">
        <is>
          <t>USD per EUR</t>
        </is>
      </c>
      <c r="E12" s="4" t="inlineStr">
        <is>
          <t>Kept for completeness</t>
        </is>
      </c>
    </row>
    <row r="13">
      <c r="A13" s="4" t="inlineStr">
        <is>
          <t>Days to maturity</t>
        </is>
      </c>
      <c r="B13" s="5" t="inlineStr">
        <is>
          <t>T_DAYS</t>
        </is>
      </c>
      <c r="C13" s="5" t="n">
        <v>365</v>
      </c>
      <c r="D13" s="5" t="inlineStr">
        <is>
          <t>days</t>
        </is>
      </c>
      <c r="E13" s="4" t="inlineStr">
        <is>
          <t>1 year</t>
        </is>
      </c>
    </row>
    <row r="14">
      <c r="A14" s="6" t="inlineStr">
        <is>
          <t>Years to maturity</t>
        </is>
      </c>
      <c r="B14" s="7" t="inlineStr">
        <is>
          <t>T_YRS</t>
        </is>
      </c>
      <c r="C14" s="7">
        <f>T_DAYS/365</f>
        <v/>
      </c>
      <c r="D14" s="7" t="inlineStr">
        <is>
          <t>years</t>
        </is>
      </c>
      <c r="E14" s="6" t="inlineStr">
        <is>
          <t>Derived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Base Case &amp; Detailed Calculations</t>
        </is>
      </c>
    </row>
    <row r="3">
      <c r="A3" s="8" t="inlineStr">
        <is>
          <t># Assumptions</t>
        </is>
      </c>
    </row>
    <row r="4">
      <c r="A4" s="9" t="inlineStr">
        <is>
          <t>Ending spot at maturity (S_T)</t>
        </is>
      </c>
      <c r="B4" s="10">
        <f>S0_in</f>
        <v/>
      </c>
      <c r="C4" s="11" t="inlineStr">
        <is>
          <t>USD per EUR</t>
        </is>
      </c>
    </row>
    <row r="6">
      <c r="A6" s="9" t="inlineStr">
        <is>
          <t>Total put premium (USD)</t>
        </is>
      </c>
      <c r="B6" s="12">
        <f>FC_AMT*PREM_PUT</f>
        <v/>
      </c>
    </row>
    <row r="7">
      <c r="A7" s="9" t="inlineStr">
        <is>
          <t>EUR present value (MM step 1)</t>
        </is>
      </c>
      <c r="B7" s="13">
        <f>FC_AMT/(1+R_FC*T_YRS)</f>
        <v/>
      </c>
    </row>
    <row r="8">
      <c r="A8" s="9" t="inlineStr">
        <is>
          <t>USD today after conversion (MM step 2)</t>
        </is>
      </c>
      <c r="B8" s="12">
        <f>B7*S0_in</f>
        <v/>
      </c>
    </row>
    <row r="9">
      <c r="A9" s="9" t="inlineStr">
        <is>
          <t>USD at maturity after investing (MM step 3)</t>
        </is>
      </c>
      <c r="B9" s="12">
        <f>B8*(1+R_USD*T_YRS)</f>
        <v/>
      </c>
    </row>
    <row r="11">
      <c r="A11" s="8" t="inlineStr">
        <is>
          <t># Summary (Base Case)</t>
        </is>
      </c>
    </row>
    <row r="12">
      <c r="A12" s="2" t="inlineStr">
        <is>
          <t>Strategy</t>
        </is>
      </c>
      <c r="B12" s="3" t="inlineStr">
        <is>
          <t>USD Proceeds</t>
        </is>
      </c>
      <c r="C12" s="3" t="inlineStr">
        <is>
          <t>Key Formula</t>
        </is>
      </c>
      <c r="D12" s="14" t="n"/>
      <c r="E12" s="14" t="n"/>
      <c r="F12" s="15" t="n"/>
    </row>
    <row r="13">
      <c r="A13" s="16" t="inlineStr">
        <is>
          <t>Unhedged</t>
        </is>
      </c>
      <c r="B13" s="12">
        <f>FC_AMT*$B$4</f>
        <v/>
      </c>
      <c r="C13" s="17">
        <f>FC_AMT*S_T</f>
        <v/>
      </c>
    </row>
    <row r="14">
      <c r="A14" s="16" t="inlineStr">
        <is>
          <t>Forward hedge</t>
        </is>
      </c>
      <c r="B14" s="12">
        <f>FC_AMT*F0_in</f>
        <v/>
      </c>
      <c r="C14" s="17">
        <f>FC_AMT*F0_in</f>
        <v/>
      </c>
    </row>
    <row r="15">
      <c r="A15" s="16" t="inlineStr">
        <is>
          <t>Money Market hedge</t>
        </is>
      </c>
      <c r="B15" s="12">
        <f>$B$9</f>
        <v/>
      </c>
      <c r="C15" s="17" t="inlineStr">
        <is>
          <t>MM: borrow EUR PV → convert → invest USD</t>
        </is>
      </c>
    </row>
    <row r="16">
      <c r="A16" s="16" t="inlineStr">
        <is>
          <t>Put option hedge</t>
        </is>
      </c>
      <c r="B16" s="12">
        <f>MAX(K_PUT,$B$4)*FC_AMT - $B$6</f>
        <v/>
      </c>
      <c r="C16" s="17">
        <f>FC_AMT*MAX(S_T,K_PUT) - FC_AMT*PREM_PUT</f>
        <v/>
      </c>
    </row>
    <row r="18">
      <c r="A18" s="8" t="inlineStr">
        <is>
          <t># KPIs</t>
        </is>
      </c>
    </row>
    <row r="19">
      <c r="A19" s="2" t="inlineStr">
        <is>
          <t>Best (max USD)</t>
        </is>
      </c>
      <c r="B19" s="18">
        <f>MAX(B13:B16)</f>
        <v/>
      </c>
      <c r="C19" s="19" t="n"/>
    </row>
    <row r="20">
      <c r="A20" s="2" t="inlineStr">
        <is>
          <t>Worst (min USD)</t>
        </is>
      </c>
      <c r="B20" s="18">
        <f>MIN(B13:B16)</f>
        <v/>
      </c>
      <c r="C20" s="19" t="n"/>
    </row>
    <row r="21">
      <c r="A21" s="2" t="inlineStr">
        <is>
          <t>Forward vs MM diff</t>
        </is>
      </c>
      <c r="B21" s="18">
        <f>B14-B15</f>
        <v/>
      </c>
      <c r="C21" s="19" t="n"/>
    </row>
  </sheetData>
  <mergeCells count="12">
    <mergeCell ref="C13:F13"/>
    <mergeCell ref="A11:F11"/>
    <mergeCell ref="A1:F1"/>
    <mergeCell ref="C12:F12"/>
    <mergeCell ref="C20:F20"/>
    <mergeCell ref="C21:F21"/>
    <mergeCell ref="C16:F16"/>
    <mergeCell ref="C15:F15"/>
    <mergeCell ref="A18:F18"/>
    <mergeCell ref="A3:F3"/>
    <mergeCell ref="C19:F19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Sensitivity (±5% around S0_in)</t>
        </is>
      </c>
    </row>
    <row r="3">
      <c r="A3" s="3" t="inlineStr">
        <is>
          <t>S_T</t>
        </is>
      </c>
      <c r="B3" s="3" t="inlineStr">
        <is>
          <t>Unhedged</t>
        </is>
      </c>
      <c r="C3" s="3" t="inlineStr">
        <is>
          <t>Forward</t>
        </is>
      </c>
      <c r="D3" s="3" t="inlineStr">
        <is>
          <t>Money Market</t>
        </is>
      </c>
      <c r="E3" s="3" t="inlineStr">
        <is>
          <t>Put Option</t>
        </is>
      </c>
      <c r="F3" s="3" t="inlineStr">
        <is>
          <t>Best USD</t>
        </is>
      </c>
      <c r="G3" s="3" t="inlineStr">
        <is>
          <t>Best Strategy</t>
        </is>
      </c>
    </row>
    <row r="4">
      <c r="A4" s="20">
        <f>0.95*S0_in</f>
        <v/>
      </c>
      <c r="B4" s="12">
        <f>FC_AMT*A4</f>
        <v/>
      </c>
      <c r="C4" s="12">
        <f>FC_AMT*F0_in</f>
        <v/>
      </c>
      <c r="D4" s="12">
        <f>'Model'!$B$9</f>
        <v/>
      </c>
      <c r="E4" s="12">
        <f>MAX(K_PUT,A4)*FC_AMT - FC_AMT*PREM_PUT</f>
        <v/>
      </c>
      <c r="F4" s="21">
        <f>MAX(B4:E4)</f>
        <v/>
      </c>
      <c r="G4" s="19">
        <f>INDEX($B$3:$E$3, MATCH(F4, B4:E4, 0))</f>
        <v/>
      </c>
    </row>
    <row r="5">
      <c r="A5" s="20">
        <f>A4+0.01*S0_in</f>
        <v/>
      </c>
      <c r="B5" s="12">
        <f>FC_AMT*A5</f>
        <v/>
      </c>
      <c r="C5" s="12">
        <f>FC_AMT*F0_in</f>
        <v/>
      </c>
      <c r="D5" s="12">
        <f>'Model'!$B$9</f>
        <v/>
      </c>
      <c r="E5" s="12">
        <f>MAX(K_PUT,A5)*FC_AMT - FC_AMT*PREM_PUT</f>
        <v/>
      </c>
      <c r="F5" s="21">
        <f>MAX(B5:E5)</f>
        <v/>
      </c>
      <c r="G5" s="19">
        <f>INDEX($B$3:$E$3, MATCH(F5, B5:E5, 0))</f>
        <v/>
      </c>
    </row>
    <row r="6">
      <c r="A6" s="20">
        <f>A5+0.01*S0_in</f>
        <v/>
      </c>
      <c r="B6" s="12">
        <f>FC_AMT*A6</f>
        <v/>
      </c>
      <c r="C6" s="12">
        <f>FC_AMT*F0_in</f>
        <v/>
      </c>
      <c r="D6" s="12">
        <f>'Model'!$B$9</f>
        <v/>
      </c>
      <c r="E6" s="12">
        <f>MAX(K_PUT,A6)*FC_AMT - FC_AMT*PREM_PUT</f>
        <v/>
      </c>
      <c r="F6" s="21">
        <f>MAX(B6:E6)</f>
        <v/>
      </c>
      <c r="G6" s="19">
        <f>INDEX($B$3:$E$3, MATCH(F6, B6:E6, 0))</f>
        <v/>
      </c>
    </row>
    <row r="7">
      <c r="A7" s="20">
        <f>A6+0.01*S0_in</f>
        <v/>
      </c>
      <c r="B7" s="12">
        <f>FC_AMT*A7</f>
        <v/>
      </c>
      <c r="C7" s="12">
        <f>FC_AMT*F0_in</f>
        <v/>
      </c>
      <c r="D7" s="12">
        <f>'Model'!$B$9</f>
        <v/>
      </c>
      <c r="E7" s="12">
        <f>MAX(K_PUT,A7)*FC_AMT - FC_AMT*PREM_PUT</f>
        <v/>
      </c>
      <c r="F7" s="21">
        <f>MAX(B7:E7)</f>
        <v/>
      </c>
      <c r="G7" s="19">
        <f>INDEX($B$3:$E$3, MATCH(F7, B7:E7, 0))</f>
        <v/>
      </c>
    </row>
    <row r="8">
      <c r="A8" s="20">
        <f>A7+0.01*S0_in</f>
        <v/>
      </c>
      <c r="B8" s="12">
        <f>FC_AMT*A8</f>
        <v/>
      </c>
      <c r="C8" s="12">
        <f>FC_AMT*F0_in</f>
        <v/>
      </c>
      <c r="D8" s="12">
        <f>'Model'!$B$9</f>
        <v/>
      </c>
      <c r="E8" s="12">
        <f>MAX(K_PUT,A8)*FC_AMT - FC_AMT*PREM_PUT</f>
        <v/>
      </c>
      <c r="F8" s="21">
        <f>MAX(B8:E8)</f>
        <v/>
      </c>
      <c r="G8" s="19">
        <f>INDEX($B$3:$E$3, MATCH(F8, B8:E8, 0))</f>
        <v/>
      </c>
    </row>
    <row r="9">
      <c r="A9" s="20">
        <f>A8+0.01*S0_in</f>
        <v/>
      </c>
      <c r="B9" s="12">
        <f>FC_AMT*A9</f>
        <v/>
      </c>
      <c r="C9" s="12">
        <f>FC_AMT*F0_in</f>
        <v/>
      </c>
      <c r="D9" s="12">
        <f>'Model'!$B$9</f>
        <v/>
      </c>
      <c r="E9" s="12">
        <f>MAX(K_PUT,A9)*FC_AMT - FC_AMT*PREM_PUT</f>
        <v/>
      </c>
      <c r="F9" s="21">
        <f>MAX(B9:E9)</f>
        <v/>
      </c>
      <c r="G9" s="19">
        <f>INDEX($B$3:$E$3, MATCH(F9, B9:E9, 0))</f>
        <v/>
      </c>
    </row>
    <row r="10">
      <c r="A10" s="20">
        <f>A9+0.01*S0_in</f>
        <v/>
      </c>
      <c r="B10" s="12">
        <f>FC_AMT*A10</f>
        <v/>
      </c>
      <c r="C10" s="12">
        <f>FC_AMT*F0_in</f>
        <v/>
      </c>
      <c r="D10" s="12">
        <f>'Model'!$B$9</f>
        <v/>
      </c>
      <c r="E10" s="12">
        <f>MAX(K_PUT,A10)*FC_AMT - FC_AMT*PREM_PUT</f>
        <v/>
      </c>
      <c r="F10" s="21">
        <f>MAX(B10:E10)</f>
        <v/>
      </c>
      <c r="G10" s="19">
        <f>INDEX($B$3:$E$3, MATCH(F10, B10:E10, 0))</f>
        <v/>
      </c>
    </row>
    <row r="11">
      <c r="A11" s="20">
        <f>A10+0.01*S0_in</f>
        <v/>
      </c>
      <c r="B11" s="12">
        <f>FC_AMT*A11</f>
        <v/>
      </c>
      <c r="C11" s="12">
        <f>FC_AMT*F0_in</f>
        <v/>
      </c>
      <c r="D11" s="12">
        <f>'Model'!$B$9</f>
        <v/>
      </c>
      <c r="E11" s="12">
        <f>MAX(K_PUT,A11)*FC_AMT - FC_AMT*PREM_PUT</f>
        <v/>
      </c>
      <c r="F11" s="21">
        <f>MAX(B11:E11)</f>
        <v/>
      </c>
      <c r="G11" s="19">
        <f>INDEX($B$3:$E$3, MATCH(F11, B11:E11, 0))</f>
        <v/>
      </c>
    </row>
    <row r="12">
      <c r="A12" s="20">
        <f>A11+0.01*S0_in</f>
        <v/>
      </c>
      <c r="B12" s="12">
        <f>FC_AMT*A12</f>
        <v/>
      </c>
      <c r="C12" s="12">
        <f>FC_AMT*F0_in</f>
        <v/>
      </c>
      <c r="D12" s="12">
        <f>'Model'!$B$9</f>
        <v/>
      </c>
      <c r="E12" s="12">
        <f>MAX(K_PUT,A12)*FC_AMT - FC_AMT*PREM_PUT</f>
        <v/>
      </c>
      <c r="F12" s="21">
        <f>MAX(B12:E12)</f>
        <v/>
      </c>
      <c r="G12" s="19">
        <f>INDEX($B$3:$E$3, MATCH(F12, B12:E12, 0))</f>
        <v/>
      </c>
    </row>
    <row r="13">
      <c r="A13" s="20">
        <f>A12+0.01*S0_in</f>
        <v/>
      </c>
      <c r="B13" s="12">
        <f>FC_AMT*A13</f>
        <v/>
      </c>
      <c r="C13" s="12">
        <f>FC_AMT*F0_in</f>
        <v/>
      </c>
      <c r="D13" s="12">
        <f>'Model'!$B$9</f>
        <v/>
      </c>
      <c r="E13" s="12">
        <f>MAX(K_PUT,A13)*FC_AMT - FC_AMT*PREM_PUT</f>
        <v/>
      </c>
      <c r="F13" s="21">
        <f>MAX(B13:E13)</f>
        <v/>
      </c>
      <c r="G13" s="19">
        <f>INDEX($B$3:$E$3, MATCH(F13, B13:E13, 0))</f>
        <v/>
      </c>
    </row>
    <row r="14">
      <c r="A14" s="20">
        <f>A13+0.01*S0_in</f>
        <v/>
      </c>
      <c r="B14" s="12">
        <f>FC_AMT*A14</f>
        <v/>
      </c>
      <c r="C14" s="12">
        <f>FC_AMT*F0_in</f>
        <v/>
      </c>
      <c r="D14" s="12">
        <f>'Model'!$B$9</f>
        <v/>
      </c>
      <c r="E14" s="12">
        <f>MAX(K_PUT,A14)*FC_AMT - FC_AMT*PREM_PUT</f>
        <v/>
      </c>
      <c r="F14" s="21">
        <f>MAX(B14:E14)</f>
        <v/>
      </c>
      <c r="G14" s="19">
        <f>INDEX($B$3:$E$3, MATCH(F14, B14:E14, 0))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Verification &amp; Cross-Checks</t>
        </is>
      </c>
    </row>
    <row r="3">
      <c r="A3" s="2" t="inlineStr">
        <is>
          <t>Check</t>
        </is>
      </c>
      <c r="B3" s="3" t="inlineStr">
        <is>
          <t>Value</t>
        </is>
      </c>
      <c r="C3" s="3" t="inlineStr">
        <is>
          <t>Target / Notes</t>
        </is>
      </c>
      <c r="D3" s="14" t="n"/>
      <c r="E3" s="15" t="n"/>
    </row>
    <row r="4">
      <c r="A4" s="17" t="inlineStr">
        <is>
          <t>IRP-implied forward (F_IRP)</t>
        </is>
      </c>
      <c r="B4" s="22">
        <f>S0_in*(1+R_USD*T_YRS)/(1+R_FC*T_YRS)</f>
        <v/>
      </c>
      <c r="C4" s="17" t="inlineStr">
        <is>
          <t>Compare to F0_in</t>
        </is>
      </c>
    </row>
    <row r="5">
      <c r="A5" s="17" t="inlineStr">
        <is>
          <t>Given forward (F0_in)</t>
        </is>
      </c>
      <c r="B5" s="22">
        <f>F0_in</f>
        <v/>
      </c>
      <c r="C5" s="17" t="inlineStr">
        <is>
          <t>Provided</t>
        </is>
      </c>
    </row>
    <row r="6">
      <c r="A6" s="17" t="inlineStr">
        <is>
          <t>Parity diff (F_IRP - F0_in)</t>
        </is>
      </c>
      <c r="B6" s="22">
        <f>B4-B5</f>
        <v/>
      </c>
      <c r="C6" s="17" t="inlineStr">
        <is>
          <t>Near 0 if rates align</t>
        </is>
      </c>
    </row>
    <row r="7">
      <c r="A7" s="17" t="inlineStr">
        <is>
          <t>% diff</t>
        </is>
      </c>
      <c r="B7" s="22">
        <f>IF(B5=0,"",(B6/B5))</f>
        <v/>
      </c>
      <c r="C7" s="17" t="inlineStr">
        <is>
          <t>Near 0</t>
        </is>
      </c>
    </row>
    <row r="8">
      <c r="A8" s="17" t="inlineStr">
        <is>
          <t>Forward proceeds</t>
        </is>
      </c>
      <c r="B8" s="12">
        <f>FC_AMT*F0_in</f>
        <v/>
      </c>
      <c r="C8" s="17" t="inlineStr">
        <is>
          <t>USD lock-in (forward)</t>
        </is>
      </c>
    </row>
    <row r="9">
      <c r="A9" s="17" t="inlineStr">
        <is>
          <t>MM proceeds</t>
        </is>
      </c>
      <c r="B9" s="12">
        <f>'Model'!$B$9</f>
        <v/>
      </c>
      <c r="C9" s="17" t="inlineStr">
        <is>
          <t>USD lock-in (money market)</t>
        </is>
      </c>
    </row>
    <row r="10">
      <c r="A10" s="17" t="inlineStr">
        <is>
          <t>MM - Forward proceeds</t>
        </is>
      </c>
      <c r="B10" s="12">
        <f>B9-B8</f>
        <v/>
      </c>
      <c r="C10" s="17" t="inlineStr">
        <is>
          <t>Near 0 if parity holds</t>
        </is>
      </c>
    </row>
  </sheetData>
  <mergeCells count="9">
    <mergeCell ref="C5:E5"/>
    <mergeCell ref="C8:E8"/>
    <mergeCell ref="C9:E9"/>
    <mergeCell ref="C4:E4"/>
    <mergeCell ref="A1:E1"/>
    <mergeCell ref="C3:E3"/>
    <mergeCell ref="C7:E7"/>
    <mergeCell ref="C6:E6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4" customWidth="1" min="4" max="4"/>
  </cols>
  <sheetData>
    <row r="1">
      <c r="A1" s="1" t="inlineStr">
        <is>
          <t>Formula Map (Key Cells)</t>
        </is>
      </c>
    </row>
    <row r="3">
      <c r="A3" s="3" t="inlineStr">
        <is>
          <t>Sheet</t>
        </is>
      </c>
      <c r="B3" s="3" t="inlineStr">
        <is>
          <t>Cell</t>
        </is>
      </c>
      <c r="C3" s="3" t="inlineStr">
        <is>
          <t>Description</t>
        </is>
      </c>
      <c r="D3" s="3" t="inlineStr">
        <is>
          <t>Formula / Value</t>
        </is>
      </c>
    </row>
    <row r="4">
      <c r="A4" s="17" t="inlineStr">
        <is>
          <t>Inputs</t>
        </is>
      </c>
      <c r="B4" s="23" t="inlineStr">
        <is>
          <t>C4</t>
        </is>
      </c>
      <c r="C4" s="17" t="inlineStr">
        <is>
          <t>FC_AMT (EUR)</t>
        </is>
      </c>
      <c r="D4" s="17" t="inlineStr">
        <is>
          <t>8000000</t>
        </is>
      </c>
    </row>
    <row r="5">
      <c r="A5" s="17" t="inlineStr">
        <is>
          <t>Inputs</t>
        </is>
      </c>
      <c r="B5" s="23" t="inlineStr">
        <is>
          <t>C5</t>
        </is>
      </c>
      <c r="C5" s="17" t="inlineStr">
        <is>
          <t>S0_in (spot)</t>
        </is>
      </c>
      <c r="D5" s="17" t="inlineStr">
        <is>
          <t>1.1714</t>
        </is>
      </c>
    </row>
    <row r="6">
      <c r="A6" s="17" t="inlineStr">
        <is>
          <t>Inputs</t>
        </is>
      </c>
      <c r="B6" s="23" t="inlineStr">
        <is>
          <t>C6</t>
        </is>
      </c>
      <c r="C6" s="17" t="inlineStr">
        <is>
          <t>F0_in (forward)</t>
        </is>
      </c>
      <c r="D6" s="17" t="inlineStr">
        <is>
          <t>1.0890</t>
        </is>
      </c>
    </row>
    <row r="7">
      <c r="A7" s="17" t="inlineStr">
        <is>
          <t>Inputs</t>
        </is>
      </c>
      <c r="B7" s="23" t="inlineStr">
        <is>
          <t>C7</t>
        </is>
      </c>
      <c r="C7" s="17" t="inlineStr">
        <is>
          <t>R_USD</t>
        </is>
      </c>
      <c r="D7" s="17" t="inlineStr">
        <is>
          <t>0.0390</t>
        </is>
      </c>
    </row>
    <row r="8">
      <c r="A8" s="17" t="inlineStr">
        <is>
          <t>Inputs</t>
        </is>
      </c>
      <c r="B8" s="23" t="inlineStr">
        <is>
          <t>C8</t>
        </is>
      </c>
      <c r="C8" s="17" t="inlineStr">
        <is>
          <t>R_FC</t>
        </is>
      </c>
      <c r="D8" s="17" t="inlineStr">
        <is>
          <t>0.01930</t>
        </is>
      </c>
    </row>
    <row r="9">
      <c r="A9" s="17" t="inlineStr">
        <is>
          <t>Inputs</t>
        </is>
      </c>
      <c r="B9" s="23" t="inlineStr">
        <is>
          <t>C9</t>
        </is>
      </c>
      <c r="C9" s="17" t="inlineStr">
        <is>
          <t>K_PUT</t>
        </is>
      </c>
      <c r="D9" s="17" t="inlineStr">
        <is>
          <t>1.0890</t>
        </is>
      </c>
    </row>
    <row r="10">
      <c r="A10" s="17" t="inlineStr">
        <is>
          <t>Inputs</t>
        </is>
      </c>
      <c r="B10" s="23" t="inlineStr">
        <is>
          <t>C11</t>
        </is>
      </c>
      <c r="C10" s="17" t="inlineStr">
        <is>
          <t>PREM_PUT</t>
        </is>
      </c>
      <c r="D10" s="17" t="inlineStr">
        <is>
          <t>0.0210</t>
        </is>
      </c>
    </row>
    <row r="11">
      <c r="A11" s="17" t="inlineStr">
        <is>
          <t>Model</t>
        </is>
      </c>
      <c r="B11" s="23" t="inlineStr">
        <is>
          <t>B4</t>
        </is>
      </c>
      <c r="C11" s="17" t="inlineStr">
        <is>
          <t>S_T (assumed)</t>
        </is>
      </c>
      <c r="D11" s="17">
        <f>S0_in</f>
        <v/>
      </c>
    </row>
    <row r="12">
      <c r="A12" s="17" t="inlineStr">
        <is>
          <t>Model</t>
        </is>
      </c>
      <c r="B12" s="23" t="inlineStr">
        <is>
          <t>B6</t>
        </is>
      </c>
      <c r="C12" s="17" t="inlineStr">
        <is>
          <t>Total put premium (USD)</t>
        </is>
      </c>
      <c r="D12" s="17">
        <f>FC_AMT*PREM_PUT</f>
        <v/>
      </c>
    </row>
    <row r="13">
      <c r="A13" s="17" t="inlineStr">
        <is>
          <t>Model</t>
        </is>
      </c>
      <c r="B13" s="23" t="inlineStr">
        <is>
          <t>B7</t>
        </is>
      </c>
      <c r="C13" s="17" t="inlineStr">
        <is>
          <t>MM step 1: EUR PV</t>
        </is>
      </c>
      <c r="D13" s="17">
        <f>FC_AMT/(1+R_FC*T_YRS)</f>
        <v/>
      </c>
    </row>
    <row r="14">
      <c r="A14" s="17" t="inlineStr">
        <is>
          <t>Model</t>
        </is>
      </c>
      <c r="B14" s="23" t="inlineStr">
        <is>
          <t>B8</t>
        </is>
      </c>
      <c r="C14" s="17" t="inlineStr">
        <is>
          <t>MM step 2: USD today</t>
        </is>
      </c>
      <c r="D14" s="17">
        <f>B7*S0_in</f>
        <v/>
      </c>
    </row>
    <row r="15">
      <c r="A15" s="17" t="inlineStr">
        <is>
          <t>Model</t>
        </is>
      </c>
      <c r="B15" s="23" t="inlineStr">
        <is>
          <t>B9</t>
        </is>
      </c>
      <c r="C15" s="17" t="inlineStr">
        <is>
          <t>MM step 3: USD maturity</t>
        </is>
      </c>
      <c r="D15" s="17">
        <f>B8*(1+R_USD*T_YRS)</f>
        <v/>
      </c>
    </row>
    <row r="16">
      <c r="A16" s="17" t="inlineStr">
        <is>
          <t>Model</t>
        </is>
      </c>
      <c r="B16" s="23" t="inlineStr">
        <is>
          <t>B14</t>
        </is>
      </c>
      <c r="C16" s="17" t="inlineStr">
        <is>
          <t>Forward USD</t>
        </is>
      </c>
      <c r="D16" s="17">
        <f>FC_AMT*F0_in</f>
        <v/>
      </c>
    </row>
    <row r="17">
      <c r="A17" s="17" t="inlineStr">
        <is>
          <t>Model</t>
        </is>
      </c>
      <c r="B17" s="23" t="inlineStr">
        <is>
          <t>B15</t>
        </is>
      </c>
      <c r="C17" s="17" t="inlineStr">
        <is>
          <t>MM USD</t>
        </is>
      </c>
      <c r="D17" s="17">
        <f>'Model'!$B$9</f>
        <v/>
      </c>
    </row>
    <row r="18">
      <c r="A18" s="17" t="inlineStr">
        <is>
          <t>Model</t>
        </is>
      </c>
      <c r="B18" s="23" t="inlineStr">
        <is>
          <t>B16</t>
        </is>
      </c>
      <c r="C18" s="17" t="inlineStr">
        <is>
          <t>Put option USD</t>
        </is>
      </c>
      <c r="D18" s="17">
        <f>MAX(K_PUT,'Model'!$B$4)*FC_AMT - 'Model'!$B$6</f>
        <v/>
      </c>
    </row>
    <row r="19">
      <c r="A19" s="17" t="inlineStr">
        <is>
          <t>Sensitivity</t>
        </is>
      </c>
      <c r="B19" s="23" t="inlineStr">
        <is>
          <t>A4</t>
        </is>
      </c>
      <c r="C19" s="17" t="inlineStr">
        <is>
          <t>S_T start</t>
        </is>
      </c>
      <c r="D19" s="17">
        <f>0.95*S0_in</f>
        <v/>
      </c>
    </row>
    <row r="20">
      <c r="A20" s="17" t="inlineStr">
        <is>
          <t>Checks</t>
        </is>
      </c>
      <c r="B20" s="23" t="inlineStr">
        <is>
          <t>B4</t>
        </is>
      </c>
      <c r="C20" s="17" t="inlineStr">
        <is>
          <t>F_IRP</t>
        </is>
      </c>
      <c r="D20" s="17">
        <f>S0_in*(1+R_USD*T_YRS)/(1+R_FC*T_YRS)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2025-12-12T07:51:36Z</dcterms:created>
  <dcterms:modified xmlns:dcterms="http://purl.org/dc/terms/" xmlns:xsi="http://www.w3.org/2001/XMLSchema-instance" xsi:type="dcterms:W3CDTF">2025-12-12T07:51:36Z</dcterms:modified>
</cp:coreProperties>
</file>